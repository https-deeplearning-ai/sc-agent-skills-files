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Funnel Analysis" sheetId="2" state="visible" r:id="rId4"/>
    <sheet name="Efficiency Analysis" sheetId="3" state="visible" r:id="rId5"/>
    <sheet name="Raw Dat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<sst xmlns="http://schemas.openxmlformats.org/spreadsheetml/2006/main" count="389" uniqueCount="109">
  <si>
    <t xml:space="preserve">Marketing Campaign Performance Report</t>
  </si>
  <si>
    <t xml:space="preserve">Week of December 9-15, 2024</t>
  </si>
  <si>
    <t xml:space="preserve">KEY PERFORMANCE METRICS</t>
  </si>
  <si>
    <t xml:space="preserve">Metric</t>
  </si>
  <si>
    <t xml:space="preserve">Value</t>
  </si>
  <si>
    <t xml:space="preserve">Status</t>
  </si>
  <si>
    <t xml:space="preserve">Total Spend</t>
  </si>
  <si>
    <t xml:space="preserve">$104,682</t>
  </si>
  <si>
    <t xml:space="preserve">Total Revenue</t>
  </si>
  <si>
    <t xml:space="preserve">$631,976</t>
  </si>
  <si>
    <t xml:space="preserve">Overall ROAS</t>
  </si>
  <si>
    <t xml:space="preserve">6.04x</t>
  </si>
  <si>
    <t xml:space="preserve">Above Target (4.0x)</t>
  </si>
  <si>
    <t xml:space="preserve">Overall CPA</t>
  </si>
  <si>
    <t xml:space="preserve">$16.56</t>
  </si>
  <si>
    <t xml:space="preserve">Below Max ($50)</t>
  </si>
  <si>
    <t xml:space="preserve">Total Net Profit</t>
  </si>
  <si>
    <t xml:space="preserve">$255,518</t>
  </si>
  <si>
    <t xml:space="preserve">Positive</t>
  </si>
  <si>
    <t xml:space="preserve">Total Conversions</t>
  </si>
  <si>
    <t xml:space="preserve">6,323</t>
  </si>
  <si>
    <t xml:space="preserve">KEY FINDINGS</t>
  </si>
  <si>
    <t xml:space="preserve">1. Email channel is the top performer with 129x ROAS and $134K net profit</t>
  </si>
  <si>
    <t xml:space="preserve">2. Google Ads delivers strong efficiency at 6.05x ROAS with $69K profit</t>
  </si>
  <si>
    <t xml:space="preserve">3. Facebook Ads is profitable but just below the 115% ROAS threshold for budget increase</t>
  </si>
  <si>
    <t xml:space="preserve">4. TikTok Ads is losing money (-$5.3K) with ROAS at only 38% of target - recommend heavy budget cut</t>
  </si>
  <si>
    <t xml:space="preserve">BUDGET REALLOCATION RECOMMENDATION</t>
  </si>
  <si>
    <t xml:space="preserve">Channel</t>
  </si>
  <si>
    <t xml:space="preserve">Current Budget</t>
  </si>
  <si>
    <t xml:space="preserve">Change</t>
  </si>
  <si>
    <t xml:space="preserve">New Budget</t>
  </si>
  <si>
    <t xml:space="preserve">Classification</t>
  </si>
  <si>
    <t xml:space="preserve">Email</t>
  </si>
  <si>
    <t xml:space="preserve">INCREASE</t>
  </si>
  <si>
    <t xml:space="preserve">Facebook_Ads</t>
  </si>
  <si>
    <t xml:space="preserve">MAINTAIN</t>
  </si>
  <si>
    <t xml:space="preserve">Google_Ads</t>
  </si>
  <si>
    <t xml:space="preserve">TikTok_Ads</t>
  </si>
  <si>
    <t xml:space="preserve">DECREASE_HEAVY</t>
  </si>
  <si>
    <t xml:space="preserve">Reserve</t>
  </si>
  <si>
    <t xml:space="preserve">Unallocated</t>
  </si>
  <si>
    <t xml:space="preserve">TOTAL</t>
  </si>
  <si>
    <t xml:space="preserve">Funnel Analysis by Channel</t>
  </si>
  <si>
    <t xml:space="preserve">Impressions</t>
  </si>
  <si>
    <t xml:space="preserve">Clicks</t>
  </si>
  <si>
    <t xml:space="preserve">Conversions</t>
  </si>
  <si>
    <t xml:space="preserve">CTR Actual</t>
  </si>
  <si>
    <t xml:space="preserve">CTR Benchmark</t>
  </si>
  <si>
    <t xml:space="preserve">CTR Diff</t>
  </si>
  <si>
    <t xml:space="preserve">CVR Actual</t>
  </si>
  <si>
    <t xml:space="preserve">CVR Benchmark</t>
  </si>
  <si>
    <t xml:space="preserve">CVR Diff</t>
  </si>
  <si>
    <t xml:space="preserve">N/A</t>
  </si>
  <si>
    <t xml:space="preserve">Benchmark Reference</t>
  </si>
  <si>
    <t xml:space="preserve">CTR = Click-Through Rate (clicks/impressions)</t>
  </si>
  <si>
    <t xml:space="preserve">CVR = Conversion Rate (conversions/clicks)</t>
  </si>
  <si>
    <t xml:space="preserve">Diff = Difference from benchmark in percentage points</t>
  </si>
  <si>
    <t xml:space="preserve">Efficiency Analysis by Channel</t>
  </si>
  <si>
    <t xml:space="preserve">Targets: ROAS ≥ 4.0x | CPA ≤ $50 | Net Profit &gt; $0</t>
  </si>
  <si>
    <t xml:space="preserve">Spend</t>
  </si>
  <si>
    <t xml:space="preserve">Revenue</t>
  </si>
  <si>
    <t xml:space="preserve">Orders</t>
  </si>
  <si>
    <t xml:space="preserve">ROAS</t>
  </si>
  <si>
    <t xml:space="preserve">ROAS Status</t>
  </si>
  <si>
    <t xml:space="preserve">CPA</t>
  </si>
  <si>
    <t xml:space="preserve">CPA Status</t>
  </si>
  <si>
    <t xml:space="preserve">Net Profit</t>
  </si>
  <si>
    <t xml:space="preserve">Profit Status</t>
  </si>
  <si>
    <t xml:space="preserve">[OK] Above</t>
  </si>
  <si>
    <t xml:space="preserve">[OK] Below</t>
  </si>
  <si>
    <t xml:space="preserve">[OK] Positive</t>
  </si>
  <si>
    <t xml:space="preserve">[X] Below</t>
  </si>
  <si>
    <t xml:space="preserve">[X] Above</t>
  </si>
  <si>
    <t xml:space="preserve">[X] Negative</t>
  </si>
  <si>
    <t xml:space="preserve">Calculation Notes</t>
  </si>
  <si>
    <t xml:space="preserve">ROAS = Revenue / Spend</t>
  </si>
  <si>
    <t xml:space="preserve">CPA = Spend / Conversions</t>
  </si>
  <si>
    <t xml:space="preserve">Net Profit = Revenue - Spend - (Orders × $8 shipping) - (Revenue × 35% product cost)</t>
  </si>
  <si>
    <t xml:space="preserve">Raw Campaign Data</t>
  </si>
  <si>
    <t xml:space="preserve">date</t>
  </si>
  <si>
    <t xml:space="preserve">campaign_name</t>
  </si>
  <si>
    <t xml:space="preserve">channel</t>
  </si>
  <si>
    <t xml:space="preserve">segment</t>
  </si>
  <si>
    <t xml:space="preserve">impressions</t>
  </si>
  <si>
    <t xml:space="preserve">clicks</t>
  </si>
  <si>
    <t xml:space="preserve">conversions</t>
  </si>
  <si>
    <t xml:space="preserve">spend</t>
  </si>
  <si>
    <t xml:space="preserve">revenue</t>
  </si>
  <si>
    <t xml:space="preserve">orders</t>
  </si>
  <si>
    <t xml:space="preserve">2024-12-09</t>
  </si>
  <si>
    <t xml:space="preserve">Holiday_Sale_Prospecting</t>
  </si>
  <si>
    <t xml:space="preserve">New_Customers</t>
  </si>
  <si>
    <t xml:space="preserve">Holiday_Sale_Retargeting</t>
  </si>
  <si>
    <t xml:space="preserve">Retargeting</t>
  </si>
  <si>
    <t xml:space="preserve">Product_Launch_Awareness</t>
  </si>
  <si>
    <t xml:space="preserve">Brand_Search</t>
  </si>
  <si>
    <t xml:space="preserve">Shopping_Campaigns</t>
  </si>
  <si>
    <t xml:space="preserve">Dynamic_Remarketing</t>
  </si>
  <si>
    <t xml:space="preserve">Influencer_Collab_Video</t>
  </si>
  <si>
    <t xml:space="preserve">UGC_Content_Campaign</t>
  </si>
  <si>
    <t xml:space="preserve">Weekly_Newsletter</t>
  </si>
  <si>
    <t xml:space="preserve">Loyalty</t>
  </si>
  <si>
    <t xml:space="preserve">Abandoned_Cart_Sequence</t>
  </si>
  <si>
    <t xml:space="preserve">2024-12-10</t>
  </si>
  <si>
    <t xml:space="preserve">2024-12-11</t>
  </si>
  <si>
    <t xml:space="preserve">2024-12-12</t>
  </si>
  <si>
    <t xml:space="preserve">2024-12-13</t>
  </si>
  <si>
    <t xml:space="preserve">2024-12-14</t>
  </si>
  <si>
    <t xml:space="preserve">2024-12-15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</si>
</sst>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.00"/>
    <numFmt numFmtId="166" formatCode="\$#,##0.00;&quot;(-$&quot;#,##0.00\)"/>
    <numFmt numFmtId="167" formatCode="#,##0"/>
    <numFmt numFmtId="168" formatCode="0.00%"/>
    <numFmt numFmtId="169" formatCode="\+0.00%;\-0.00%"/>
    <numFmt numFmtId="170" formatCode="0.00\x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Cambria"/>
      <family val="0"/>
      <charset val="1"/>
    </font>
    <font>
      <i val="true"/>
      <sz val="11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6100"/>
      <name val="Cambria"/>
      <family val="0"/>
      <charset val="1"/>
    </font>
    <font>
      <sz val="11"/>
      <color rgb="FF9C0006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4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4" min="2" style="0" width="18"/>
    <col collapsed="false" customWidth="true" hidden="false" outlineLevel="0" max="5" min="5" style="0" width="2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</row>
    <row r="6" customFormat="false" ht="15" hidden="false" customHeight="false" outlineLevel="0" collapsed="false">
      <c r="A6" s="5" t="s">
        <v>6</v>
      </c>
      <c r="B6" s="5" t="s">
        <v>7</v>
      </c>
      <c r="C6" s="5"/>
    </row>
    <row r="7" customFormat="false" ht="15" hidden="false" customHeight="false" outlineLevel="0" collapsed="false">
      <c r="A7" s="5" t="s">
        <v>8</v>
      </c>
      <c r="B7" s="5" t="s">
        <v>9</v>
      </c>
      <c r="C7" s="5"/>
    </row>
    <row r="8" customFormat="false" ht="15" hidden="false" customHeight="false" outlineLevel="0" collapsed="false">
      <c r="A8" s="5" t="s">
        <v>10</v>
      </c>
      <c r="B8" s="5" t="s">
        <v>11</v>
      </c>
      <c r="C8" s="6" t="s">
        <v>12</v>
      </c>
    </row>
    <row r="9" customFormat="false" ht="15" hidden="false" customHeight="false" outlineLevel="0" collapsed="false">
      <c r="A9" s="5" t="s">
        <v>13</v>
      </c>
      <c r="B9" s="5" t="s">
        <v>14</v>
      </c>
      <c r="C9" s="6" t="s">
        <v>15</v>
      </c>
    </row>
    <row r="10" customFormat="false" ht="15" hidden="false" customHeight="false" outlineLevel="0" collapsed="false">
      <c r="A10" s="5" t="s">
        <v>16</v>
      </c>
      <c r="B10" s="5" t="s">
        <v>17</v>
      </c>
      <c r="C10" s="6" t="s">
        <v>18</v>
      </c>
    </row>
    <row r="11" customFormat="false" ht="15" hidden="false" customHeight="false" outlineLevel="0" collapsed="false">
      <c r="A11" s="5" t="s">
        <v>19</v>
      </c>
      <c r="B11" s="5" t="s">
        <v>20</v>
      </c>
      <c r="C11" s="5"/>
    </row>
    <row r="13" customFormat="false" ht="15" hidden="false" customHeight="false" outlineLevel="0" collapsed="false">
      <c r="A13" s="3" t="s">
        <v>21</v>
      </c>
    </row>
    <row r="14" customFormat="false" ht="15" hidden="false" customHeight="false" outlineLevel="0" collapsed="false">
      <c r="A14" s="0" t="s">
        <v>22</v>
      </c>
    </row>
    <row r="15" customFormat="false" ht="15" hidden="false" customHeight="false" outlineLevel="0" collapsed="false">
      <c r="A15" s="0" t="s">
        <v>23</v>
      </c>
    </row>
    <row r="16" customFormat="false" ht="15" hidden="false" customHeight="false" outlineLevel="0" collapsed="false">
      <c r="A16" s="0" t="s">
        <v>24</v>
      </c>
    </row>
    <row r="17" customFormat="false" ht="15" hidden="false" customHeight="false" outlineLevel="0" collapsed="false">
      <c r="A17" s="0" t="s">
        <v>25</v>
      </c>
    </row>
    <row r="19" customFormat="false" ht="15" hidden="false" customHeight="false" outlineLevel="0" collapsed="false">
      <c r="A19" s="3" t="s">
        <v>26</v>
      </c>
    </row>
    <row r="20" customFormat="false" ht="15" hidden="false" customHeight="false" outlineLevel="0" collapsed="false">
      <c r="A20" s="4" t="s">
        <v>27</v>
      </c>
      <c r="B20" s="4" t="s">
        <v>28</v>
      </c>
      <c r="C20" s="4" t="s">
        <v>29</v>
      </c>
      <c r="D20" s="4" t="s">
        <v>30</v>
      </c>
      <c r="E20" s="4" t="s">
        <v>31</v>
      </c>
    </row>
    <row r="21" customFormat="false" ht="15" hidden="false" customHeight="false" outlineLevel="0" collapsed="false">
      <c r="A21" s="5" t="s">
        <v>32</v>
      </c>
      <c r="B21" s="7" t="n">
        <v>1836.76</v>
      </c>
      <c r="C21" s="8" t="n">
        <v>275.51</v>
      </c>
      <c r="D21" s="7" t="n">
        <v>2112.27</v>
      </c>
      <c r="E21" s="6" t="s">
        <v>33</v>
      </c>
    </row>
    <row r="22" customFormat="false" ht="15" hidden="false" customHeight="false" outlineLevel="0" collapsed="false">
      <c r="A22" s="5" t="s">
        <v>34</v>
      </c>
      <c r="B22" s="7" t="n">
        <v>36678.01</v>
      </c>
      <c r="C22" s="9" t="n">
        <v>0</v>
      </c>
      <c r="D22" s="7" t="n">
        <v>36678.01</v>
      </c>
      <c r="E22" s="5" t="s">
        <v>35</v>
      </c>
    </row>
    <row r="23" customFormat="false" ht="15" hidden="false" customHeight="false" outlineLevel="0" collapsed="false">
      <c r="A23" s="5" t="s">
        <v>36</v>
      </c>
      <c r="B23" s="7" t="n">
        <v>28184.51</v>
      </c>
      <c r="C23" s="8" t="n">
        <v>4227.68</v>
      </c>
      <c r="D23" s="7" t="n">
        <v>32412.19</v>
      </c>
      <c r="E23" s="6" t="s">
        <v>33</v>
      </c>
    </row>
    <row r="24" customFormat="false" ht="15" hidden="false" customHeight="false" outlineLevel="0" collapsed="false">
      <c r="A24" s="5" t="s">
        <v>37</v>
      </c>
      <c r="B24" s="7" t="n">
        <v>37982.97</v>
      </c>
      <c r="C24" s="10" t="n">
        <v>-17092.34</v>
      </c>
      <c r="D24" s="7" t="n">
        <v>20890.63</v>
      </c>
      <c r="E24" s="11" t="s">
        <v>38</v>
      </c>
    </row>
    <row r="25" customFormat="false" ht="15" hidden="false" customHeight="false" outlineLevel="0" collapsed="false">
      <c r="A25" s="5" t="s">
        <v>39</v>
      </c>
      <c r="B25" s="5"/>
      <c r="C25" s="5"/>
      <c r="D25" s="7" t="n">
        <v>12589.15</v>
      </c>
      <c r="E25" s="5" t="s">
        <v>40</v>
      </c>
    </row>
    <row r="26" customFormat="false" ht="15" hidden="false" customHeight="false" outlineLevel="0" collapsed="false">
      <c r="A26" s="12" t="s">
        <v>41</v>
      </c>
      <c r="B26" s="13" t="n">
        <f aca="false">SUM(B21:B24)</f>
        <v>104682.25</v>
      </c>
      <c r="C26" s="5"/>
      <c r="D26" s="13" t="n">
        <f aca="false">SUM(D21:D25)</f>
        <v>104682.25</v>
      </c>
      <c r="E26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5"/>
    <col collapsed="false" customWidth="true" hidden="false" outlineLevel="0" max="10" min="10" style="0" width="12"/>
  </cols>
  <sheetData>
    <row r="1" customFormat="false" ht="17.35" hidden="false" customHeight="false" outlineLevel="0" collapsed="false">
      <c r="A1" s="14" t="s">
        <v>42</v>
      </c>
    </row>
    <row r="3" customFormat="false" ht="28.35" hidden="false" customHeight="false" outlineLevel="0" collapsed="false">
      <c r="A3" s="4" t="s">
        <v>27</v>
      </c>
      <c r="B3" s="4" t="s">
        <v>43</v>
      </c>
      <c r="C3" s="4" t="s">
        <v>44</v>
      </c>
      <c r="D3" s="4" t="s">
        <v>45</v>
      </c>
      <c r="E3" s="4" t="s">
        <v>46</v>
      </c>
      <c r="F3" s="4" t="s">
        <v>47</v>
      </c>
      <c r="G3" s="4" t="s">
        <v>48</v>
      </c>
      <c r="H3" s="4" t="s">
        <v>49</v>
      </c>
      <c r="I3" s="4" t="s">
        <v>50</v>
      </c>
      <c r="J3" s="4" t="s">
        <v>51</v>
      </c>
    </row>
    <row r="4" customFormat="false" ht="15" hidden="false" customHeight="false" outlineLevel="0" collapsed="false">
      <c r="A4" s="5" t="s">
        <v>32</v>
      </c>
      <c r="B4" s="5" t="s">
        <v>52</v>
      </c>
      <c r="C4" s="15" t="n">
        <v>100213</v>
      </c>
      <c r="D4" s="15" t="n">
        <v>2335</v>
      </c>
      <c r="E4" s="5" t="s">
        <v>52</v>
      </c>
      <c r="F4" s="16" t="n">
        <v>0.15</v>
      </c>
      <c r="G4" s="5" t="s">
        <v>52</v>
      </c>
      <c r="H4" s="16" t="n">
        <v>0.0233</v>
      </c>
      <c r="I4" s="16" t="n">
        <v>0.021</v>
      </c>
      <c r="J4" s="17" t="n">
        <v>0.0023</v>
      </c>
    </row>
    <row r="5" customFormat="false" ht="15" hidden="false" customHeight="false" outlineLevel="0" collapsed="false">
      <c r="A5" s="5" t="s">
        <v>34</v>
      </c>
      <c r="B5" s="15" t="n">
        <v>1941612</v>
      </c>
      <c r="C5" s="15" t="n">
        <v>51940</v>
      </c>
      <c r="D5" s="15" t="n">
        <v>1674</v>
      </c>
      <c r="E5" s="16" t="n">
        <v>0.0268</v>
      </c>
      <c r="F5" s="16" t="n">
        <v>0.025</v>
      </c>
      <c r="G5" s="17" t="n">
        <v>0.0018</v>
      </c>
      <c r="H5" s="16" t="n">
        <v>0.0322</v>
      </c>
      <c r="I5" s="16" t="n">
        <v>0.038</v>
      </c>
      <c r="J5" s="18" t="n">
        <v>-0.0058</v>
      </c>
    </row>
    <row r="6" customFormat="false" ht="15" hidden="false" customHeight="false" outlineLevel="0" collapsed="false">
      <c r="A6" s="5" t="s">
        <v>36</v>
      </c>
      <c r="B6" s="15" t="n">
        <v>978780</v>
      </c>
      <c r="C6" s="15" t="n">
        <v>30613</v>
      </c>
      <c r="D6" s="15" t="n">
        <v>1651</v>
      </c>
      <c r="E6" s="16" t="n">
        <v>0.0313</v>
      </c>
      <c r="F6" s="16" t="n">
        <v>0.05</v>
      </c>
      <c r="G6" s="18" t="n">
        <v>-0.0187</v>
      </c>
      <c r="H6" s="16" t="n">
        <v>0.0539</v>
      </c>
      <c r="I6" s="16" t="n">
        <v>0.045</v>
      </c>
      <c r="J6" s="17" t="n">
        <v>0.0089</v>
      </c>
    </row>
    <row r="7" customFormat="false" ht="15" hidden="false" customHeight="false" outlineLevel="0" collapsed="false">
      <c r="A7" s="5" t="s">
        <v>37</v>
      </c>
      <c r="B7" s="15" t="n">
        <v>3260225</v>
      </c>
      <c r="C7" s="15" t="n">
        <v>63698</v>
      </c>
      <c r="D7" s="15" t="n">
        <v>663</v>
      </c>
      <c r="E7" s="16" t="n">
        <v>0.0195</v>
      </c>
      <c r="F7" s="16" t="n">
        <v>0.02</v>
      </c>
      <c r="G7" s="18" t="n">
        <v>-0.0005</v>
      </c>
      <c r="H7" s="16" t="n">
        <v>0.0104</v>
      </c>
      <c r="I7" s="16" t="n">
        <v>0.009</v>
      </c>
      <c r="J7" s="17" t="n">
        <v>0.0014</v>
      </c>
    </row>
    <row r="10" customFormat="false" ht="15" hidden="false" customHeight="false" outlineLevel="0" collapsed="false">
      <c r="A10" s="3" t="s">
        <v>53</v>
      </c>
    </row>
    <row r="11" customFormat="false" ht="15" hidden="false" customHeight="false" outlineLevel="0" collapsed="false">
      <c r="A11" s="0" t="s">
        <v>54</v>
      </c>
    </row>
    <row r="12" customFormat="false" ht="15" hidden="false" customHeight="false" outlineLevel="0" collapsed="false">
      <c r="A12" s="0" t="s">
        <v>55</v>
      </c>
    </row>
    <row r="13" customFormat="false" ht="15" hidden="false" customHeight="false" outlineLevel="0" collapsed="false">
      <c r="A13" s="0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3" min="2" style="0" width="14"/>
    <col collapsed="false" customWidth="true" hidden="false" outlineLevel="0" max="5" min="4" style="0" width="10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10" min="8" style="0" width="14"/>
  </cols>
  <sheetData>
    <row r="1" customFormat="false" ht="17.35" hidden="false" customHeight="false" outlineLevel="0" collapsed="false">
      <c r="A1" s="14" t="s">
        <v>57</v>
      </c>
    </row>
    <row r="3" customFormat="false" ht="15" hidden="false" customHeight="false" outlineLevel="0" collapsed="false">
      <c r="A3" s="2" t="s">
        <v>58</v>
      </c>
    </row>
    <row r="5" customFormat="false" ht="15" hidden="false" customHeight="false" outlineLevel="0" collapsed="false">
      <c r="A5" s="4" t="s">
        <v>27</v>
      </c>
      <c r="B5" s="4" t="s">
        <v>59</v>
      </c>
      <c r="C5" s="4" t="s">
        <v>60</v>
      </c>
      <c r="D5" s="4" t="s">
        <v>61</v>
      </c>
      <c r="E5" s="4" t="s">
        <v>62</v>
      </c>
      <c r="F5" s="4" t="s">
        <v>63</v>
      </c>
      <c r="G5" s="4" t="s">
        <v>64</v>
      </c>
      <c r="H5" s="4" t="s">
        <v>65</v>
      </c>
      <c r="I5" s="4" t="s">
        <v>66</v>
      </c>
      <c r="J5" s="4" t="s">
        <v>67</v>
      </c>
    </row>
    <row r="6" customFormat="false" ht="15" hidden="false" customHeight="false" outlineLevel="0" collapsed="false">
      <c r="A6" s="5" t="s">
        <v>32</v>
      </c>
      <c r="B6" s="7" t="n">
        <v>1836.76</v>
      </c>
      <c r="C6" s="7" t="n">
        <v>237630.53</v>
      </c>
      <c r="D6" s="15" t="n">
        <v>2335</v>
      </c>
      <c r="E6" s="19" t="n">
        <v>129.37</v>
      </c>
      <c r="F6" s="6" t="s">
        <v>68</v>
      </c>
      <c r="G6" s="7" t="n">
        <v>0.79</v>
      </c>
      <c r="H6" s="6" t="s">
        <v>69</v>
      </c>
      <c r="I6" s="9" t="n">
        <v>133943.08</v>
      </c>
      <c r="J6" s="6" t="s">
        <v>70</v>
      </c>
    </row>
    <row r="7" customFormat="false" ht="15" hidden="false" customHeight="false" outlineLevel="0" collapsed="false">
      <c r="A7" s="5" t="s">
        <v>34</v>
      </c>
      <c r="B7" s="7" t="n">
        <v>36678.01</v>
      </c>
      <c r="C7" s="7" t="n">
        <v>165482.75</v>
      </c>
      <c r="D7" s="15" t="n">
        <v>1674</v>
      </c>
      <c r="E7" s="19" t="n">
        <v>4.51</v>
      </c>
      <c r="F7" s="6" t="s">
        <v>68</v>
      </c>
      <c r="G7" s="7" t="n">
        <v>21.91</v>
      </c>
      <c r="H7" s="6" t="s">
        <v>69</v>
      </c>
      <c r="I7" s="9" t="n">
        <v>57493.78</v>
      </c>
      <c r="J7" s="6" t="s">
        <v>70</v>
      </c>
    </row>
    <row r="8" customFormat="false" ht="15" hidden="false" customHeight="false" outlineLevel="0" collapsed="false">
      <c r="A8" s="5" t="s">
        <v>36</v>
      </c>
      <c r="B8" s="7" t="n">
        <v>28184.51</v>
      </c>
      <c r="C8" s="7" t="n">
        <v>170414.87</v>
      </c>
      <c r="D8" s="15" t="n">
        <v>1651</v>
      </c>
      <c r="E8" s="19" t="n">
        <v>6.05</v>
      </c>
      <c r="F8" s="6" t="s">
        <v>68</v>
      </c>
      <c r="G8" s="7" t="n">
        <v>17.07</v>
      </c>
      <c r="H8" s="6" t="s">
        <v>69</v>
      </c>
      <c r="I8" s="9" t="n">
        <v>69377.16</v>
      </c>
      <c r="J8" s="6" t="s">
        <v>70</v>
      </c>
    </row>
    <row r="9" customFormat="false" ht="15" hidden="false" customHeight="false" outlineLevel="0" collapsed="false">
      <c r="A9" s="5" t="s">
        <v>37</v>
      </c>
      <c r="B9" s="7" t="n">
        <v>37982.97</v>
      </c>
      <c r="C9" s="7" t="n">
        <v>58447.71</v>
      </c>
      <c r="D9" s="15" t="n">
        <v>663</v>
      </c>
      <c r="E9" s="19" t="n">
        <v>1.54</v>
      </c>
      <c r="F9" s="11" t="s">
        <v>71</v>
      </c>
      <c r="G9" s="7" t="n">
        <v>57.29</v>
      </c>
      <c r="H9" s="11" t="s">
        <v>72</v>
      </c>
      <c r="I9" s="9" t="n">
        <v>-5295.96</v>
      </c>
      <c r="J9" s="11" t="s">
        <v>73</v>
      </c>
    </row>
    <row r="10" customFormat="false" ht="15" hidden="false" customHeight="false" outlineLevel="0" collapsed="false">
      <c r="A10" s="12" t="s">
        <v>41</v>
      </c>
      <c r="B10" s="13" t="n">
        <f aca="false">SUM(B6:B9)</f>
        <v>104682.25</v>
      </c>
      <c r="C10" s="13" t="n">
        <f aca="false">SUM(C6:C9)</f>
        <v>631975.86</v>
      </c>
      <c r="D10" s="20" t="n">
        <f aca="false">SUM(D6:D9)</f>
        <v>6323</v>
      </c>
      <c r="E10" s="21" t="n">
        <f aca="false">C10/B10</f>
        <v>6.03708708974062</v>
      </c>
      <c r="F10" s="5"/>
      <c r="G10" s="5"/>
      <c r="H10" s="5"/>
      <c r="I10" s="13" t="n">
        <f aca="false">SUM(I6:I9)</f>
        <v>255518.06</v>
      </c>
      <c r="J10" s="5"/>
    </row>
    <row r="13" customFormat="false" ht="15" hidden="false" customHeight="false" outlineLevel="0" collapsed="false">
      <c r="A13" s="3" t="s">
        <v>74</v>
      </c>
    </row>
    <row r="14" customFormat="false" ht="15" hidden="false" customHeight="false" outlineLevel="0" collapsed="false">
      <c r="A14" s="0" t="s">
        <v>75</v>
      </c>
    </row>
    <row r="15" customFormat="false" ht="15" hidden="false" customHeight="false" outlineLevel="0" collapsed="false">
      <c r="A15" s="0" t="s">
        <v>76</v>
      </c>
    </row>
    <row r="16" customFormat="false" ht="15" hidden="false" customHeight="false" outlineLevel="0" collapsed="false">
      <c r="A16" s="0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9" min="7" style="0" width="12"/>
    <col collapsed="false" customWidth="true" hidden="false" outlineLevel="0" max="10" min="10" style="0" width="10"/>
  </cols>
  <sheetData>
    <row r="1" customFormat="false" ht="17.35" hidden="false" customHeight="false" outlineLevel="0" collapsed="false">
      <c r="A1" s="14" t="s">
        <v>78</v>
      </c>
    </row>
    <row r="3" customFormat="false" ht="15" hidden="false" customHeight="false" outlineLevel="0" collapsed="false">
      <c r="A3" s="4" t="s">
        <v>79</v>
      </c>
      <c r="B3" s="4" t="s">
        <v>80</v>
      </c>
      <c r="C3" s="4" t="s">
        <v>81</v>
      </c>
      <c r="D3" s="4" t="s">
        <v>82</v>
      </c>
      <c r="E3" s="4" t="s">
        <v>83</v>
      </c>
      <c r="F3" s="4" t="s">
        <v>84</v>
      </c>
      <c r="G3" s="4" t="s">
        <v>85</v>
      </c>
      <c r="H3" s="4" t="s">
        <v>86</v>
      </c>
      <c r="I3" s="4" t="s">
        <v>87</v>
      </c>
      <c r="J3" s="4" t="s">
        <v>88</v>
      </c>
    </row>
    <row r="4" customFormat="false" ht="15" hidden="false" customHeight="false" outlineLevel="0" collapsed="false">
      <c r="A4" s="0" t="s">
        <v>89</v>
      </c>
      <c r="B4" s="0" t="s">
        <v>90</v>
      </c>
      <c r="C4" s="0" t="s">
        <v>34</v>
      </c>
      <c r="D4" s="0" t="s">
        <v>91</v>
      </c>
      <c r="E4" s="22" t="n">
        <v>125279</v>
      </c>
      <c r="F4" s="22" t="n">
        <v>3169</v>
      </c>
      <c r="G4" s="22" t="n">
        <v>84</v>
      </c>
      <c r="H4" s="23" t="n">
        <v>2060.43</v>
      </c>
      <c r="I4" s="23" t="n">
        <v>7714.41</v>
      </c>
      <c r="J4" s="22" t="n">
        <v>84</v>
      </c>
    </row>
    <row r="5" customFormat="false" ht="15" hidden="false" customHeight="false" outlineLevel="0" collapsed="false">
      <c r="A5" s="0" t="s">
        <v>89</v>
      </c>
      <c r="B5" s="0" t="s">
        <v>92</v>
      </c>
      <c r="C5" s="0" t="s">
        <v>34</v>
      </c>
      <c r="D5" s="0" t="s">
        <v>93</v>
      </c>
      <c r="E5" s="22" t="n">
        <v>43118</v>
      </c>
      <c r="F5" s="22" t="n">
        <v>1724</v>
      </c>
      <c r="G5" s="22" t="n">
        <v>107</v>
      </c>
      <c r="H5" s="23" t="n">
        <v>1414.17</v>
      </c>
      <c r="I5" s="23" t="n">
        <v>11542.94</v>
      </c>
      <c r="J5" s="22" t="n">
        <v>107</v>
      </c>
    </row>
    <row r="6" customFormat="false" ht="15" hidden="false" customHeight="false" outlineLevel="0" collapsed="false">
      <c r="A6" s="0" t="s">
        <v>89</v>
      </c>
      <c r="B6" s="0" t="s">
        <v>94</v>
      </c>
      <c r="C6" s="0" t="s">
        <v>34</v>
      </c>
      <c r="D6" s="0" t="s">
        <v>91</v>
      </c>
      <c r="E6" s="22" t="n">
        <v>96975</v>
      </c>
      <c r="F6" s="22" t="n">
        <v>2205</v>
      </c>
      <c r="G6" s="22" t="n">
        <v>38</v>
      </c>
      <c r="H6" s="23" t="n">
        <v>1544.07</v>
      </c>
      <c r="I6" s="23" t="n">
        <v>3371.63</v>
      </c>
      <c r="J6" s="22" t="n">
        <v>38</v>
      </c>
    </row>
    <row r="7" customFormat="false" ht="15" hidden="false" customHeight="false" outlineLevel="0" collapsed="false">
      <c r="A7" s="0" t="s">
        <v>89</v>
      </c>
      <c r="B7" s="0" t="s">
        <v>95</v>
      </c>
      <c r="C7" s="0" t="s">
        <v>36</v>
      </c>
      <c r="D7" s="0" t="s">
        <v>91</v>
      </c>
      <c r="E7" s="22" t="n">
        <v>15628</v>
      </c>
      <c r="F7" s="22" t="n">
        <v>775</v>
      </c>
      <c r="G7" s="22" t="n">
        <v>95</v>
      </c>
      <c r="H7" s="23" t="n">
        <v>813.82</v>
      </c>
      <c r="I7" s="23" t="n">
        <v>9750.01</v>
      </c>
      <c r="J7" s="22" t="n">
        <v>95</v>
      </c>
    </row>
    <row r="8" customFormat="false" ht="15" hidden="false" customHeight="false" outlineLevel="0" collapsed="false">
      <c r="A8" s="0" t="s">
        <v>89</v>
      </c>
      <c r="B8" s="0" t="s">
        <v>96</v>
      </c>
      <c r="C8" s="0" t="s">
        <v>36</v>
      </c>
      <c r="D8" s="0" t="s">
        <v>91</v>
      </c>
      <c r="E8" s="22" t="n">
        <v>77393</v>
      </c>
      <c r="F8" s="22" t="n">
        <v>1917</v>
      </c>
      <c r="G8" s="22" t="n">
        <v>57</v>
      </c>
      <c r="H8" s="23" t="n">
        <v>1629.03</v>
      </c>
      <c r="I8" s="23" t="n">
        <v>5306.69</v>
      </c>
      <c r="J8" s="22" t="n">
        <v>57</v>
      </c>
    </row>
    <row r="9" customFormat="false" ht="15" hidden="false" customHeight="false" outlineLevel="0" collapsed="false">
      <c r="A9" s="0" t="s">
        <v>89</v>
      </c>
      <c r="B9" s="0" t="s">
        <v>97</v>
      </c>
      <c r="C9" s="0" t="s">
        <v>36</v>
      </c>
      <c r="D9" s="0" t="s">
        <v>93</v>
      </c>
      <c r="E9" s="22" t="n">
        <v>36298</v>
      </c>
      <c r="F9" s="22" t="n">
        <v>1366</v>
      </c>
      <c r="G9" s="22" t="n">
        <v>71</v>
      </c>
      <c r="H9" s="23" t="n">
        <v>1297.63</v>
      </c>
      <c r="I9" s="23" t="n">
        <v>7856.04</v>
      </c>
      <c r="J9" s="22" t="n">
        <v>71</v>
      </c>
    </row>
    <row r="10" customFormat="false" ht="15" hidden="false" customHeight="false" outlineLevel="0" collapsed="false">
      <c r="A10" s="0" t="s">
        <v>89</v>
      </c>
      <c r="B10" s="0" t="s">
        <v>98</v>
      </c>
      <c r="C10" s="0" t="s">
        <v>37</v>
      </c>
      <c r="D10" s="0" t="s">
        <v>91</v>
      </c>
      <c r="E10" s="22" t="n">
        <v>244182</v>
      </c>
      <c r="F10" s="22" t="n">
        <v>4983</v>
      </c>
      <c r="G10" s="22" t="n">
        <v>47</v>
      </c>
      <c r="H10" s="23" t="n">
        <v>2890.61</v>
      </c>
      <c r="I10" s="23" t="n">
        <v>4057.74</v>
      </c>
      <c r="J10" s="22" t="n">
        <v>47</v>
      </c>
    </row>
    <row r="11" customFormat="false" ht="15" hidden="false" customHeight="false" outlineLevel="0" collapsed="false">
      <c r="A11" s="0" t="s">
        <v>89</v>
      </c>
      <c r="B11" s="0" t="s">
        <v>99</v>
      </c>
      <c r="C11" s="0" t="s">
        <v>37</v>
      </c>
      <c r="D11" s="0" t="s">
        <v>91</v>
      </c>
      <c r="E11" s="22" t="n">
        <v>208784</v>
      </c>
      <c r="F11" s="22" t="n">
        <v>3839</v>
      </c>
      <c r="G11" s="22" t="n">
        <v>45</v>
      </c>
      <c r="H11" s="23" t="n">
        <v>2380.65</v>
      </c>
      <c r="I11" s="23" t="n">
        <v>4104.67</v>
      </c>
      <c r="J11" s="22" t="n">
        <v>45</v>
      </c>
    </row>
    <row r="12" customFormat="false" ht="15" hidden="false" customHeight="false" outlineLevel="0" collapsed="false">
      <c r="A12" s="0" t="s">
        <v>89</v>
      </c>
      <c r="B12" s="0" t="s">
        <v>100</v>
      </c>
      <c r="C12" s="0" t="s">
        <v>32</v>
      </c>
      <c r="D12" s="0" t="s">
        <v>101</v>
      </c>
      <c r="F12" s="22" t="n">
        <v>14001</v>
      </c>
      <c r="G12" s="22" t="n">
        <v>297</v>
      </c>
      <c r="H12" s="23" t="n">
        <v>279.3</v>
      </c>
      <c r="I12" s="23" t="n">
        <v>29050.54</v>
      </c>
      <c r="J12" s="22" t="n">
        <v>297</v>
      </c>
    </row>
    <row r="13" customFormat="false" ht="15" hidden="false" customHeight="false" outlineLevel="0" collapsed="false">
      <c r="A13" s="0" t="s">
        <v>89</v>
      </c>
      <c r="B13" s="0" t="s">
        <v>102</v>
      </c>
      <c r="C13" s="0" t="s">
        <v>32</v>
      </c>
      <c r="D13" s="0" t="s">
        <v>93</v>
      </c>
      <c r="F13" s="22" t="n">
        <v>2462</v>
      </c>
      <c r="G13" s="22" t="n">
        <v>84</v>
      </c>
      <c r="H13" s="23" t="n">
        <v>24.37</v>
      </c>
      <c r="I13" s="23" t="n">
        <v>9633.95</v>
      </c>
      <c r="J13" s="22" t="n">
        <v>84</v>
      </c>
    </row>
    <row r="14" customFormat="false" ht="15" hidden="false" customHeight="false" outlineLevel="0" collapsed="false">
      <c r="A14" s="0" t="s">
        <v>103</v>
      </c>
      <c r="B14" s="0" t="s">
        <v>90</v>
      </c>
      <c r="C14" s="0" t="s">
        <v>34</v>
      </c>
      <c r="D14" s="0" t="s">
        <v>91</v>
      </c>
      <c r="E14" s="22" t="n">
        <v>130163</v>
      </c>
      <c r="F14" s="22" t="n">
        <v>3293</v>
      </c>
      <c r="G14" s="22" t="n">
        <v>87</v>
      </c>
      <c r="H14" s="23" t="n">
        <v>2140.76</v>
      </c>
      <c r="I14" s="23" t="n">
        <v>8015.15</v>
      </c>
      <c r="J14" s="22" t="n">
        <v>87</v>
      </c>
    </row>
    <row r="15" customFormat="false" ht="15" hidden="false" customHeight="false" outlineLevel="0" collapsed="false">
      <c r="A15" s="0" t="s">
        <v>103</v>
      </c>
      <c r="B15" s="0" t="s">
        <v>92</v>
      </c>
      <c r="C15" s="0" t="s">
        <v>34</v>
      </c>
      <c r="D15" s="0" t="s">
        <v>93</v>
      </c>
      <c r="E15" s="22" t="n">
        <v>39463</v>
      </c>
      <c r="F15" s="22" t="n">
        <v>1578</v>
      </c>
      <c r="G15" s="22" t="n">
        <v>98</v>
      </c>
      <c r="H15" s="23" t="n">
        <v>1294.29</v>
      </c>
      <c r="I15" s="23" t="n">
        <v>10564.44</v>
      </c>
      <c r="J15" s="22" t="n">
        <v>98</v>
      </c>
    </row>
    <row r="16" customFormat="false" ht="15" hidden="false" customHeight="false" outlineLevel="0" collapsed="false">
      <c r="A16" s="0" t="s">
        <v>103</v>
      </c>
      <c r="B16" s="0" t="s">
        <v>94</v>
      </c>
      <c r="C16" s="0" t="s">
        <v>34</v>
      </c>
      <c r="D16" s="0" t="s">
        <v>91</v>
      </c>
      <c r="E16" s="22" t="n">
        <v>98898</v>
      </c>
      <c r="F16" s="22" t="n">
        <v>2248</v>
      </c>
      <c r="G16" s="22" t="n">
        <v>39</v>
      </c>
      <c r="H16" s="23" t="n">
        <v>1574.69</v>
      </c>
      <c r="I16" s="23" t="n">
        <v>3438.51</v>
      </c>
      <c r="J16" s="22" t="n">
        <v>39</v>
      </c>
    </row>
    <row r="17" customFormat="false" ht="15" hidden="false" customHeight="false" outlineLevel="0" collapsed="false">
      <c r="A17" s="0" t="s">
        <v>103</v>
      </c>
      <c r="B17" s="0" t="s">
        <v>95</v>
      </c>
      <c r="C17" s="0" t="s">
        <v>36</v>
      </c>
      <c r="D17" s="0" t="s">
        <v>91</v>
      </c>
      <c r="E17" s="22" t="n">
        <v>17410</v>
      </c>
      <c r="F17" s="22" t="n">
        <v>863</v>
      </c>
      <c r="G17" s="22" t="n">
        <v>106</v>
      </c>
      <c r="H17" s="23" t="n">
        <v>906.65</v>
      </c>
      <c r="I17" s="23" t="n">
        <v>10862.09</v>
      </c>
      <c r="J17" s="22" t="n">
        <v>106</v>
      </c>
    </row>
    <row r="18" customFormat="false" ht="15" hidden="false" customHeight="false" outlineLevel="0" collapsed="false">
      <c r="A18" s="0" t="s">
        <v>103</v>
      </c>
      <c r="B18" s="0" t="s">
        <v>96</v>
      </c>
      <c r="C18" s="0" t="s">
        <v>36</v>
      </c>
      <c r="D18" s="0" t="s">
        <v>91</v>
      </c>
      <c r="E18" s="22" t="n">
        <v>93584</v>
      </c>
      <c r="F18" s="22" t="n">
        <v>2318</v>
      </c>
      <c r="G18" s="22" t="n">
        <v>69</v>
      </c>
      <c r="H18" s="23" t="n">
        <v>1969.82</v>
      </c>
      <c r="I18" s="23" t="n">
        <v>6416.83</v>
      </c>
      <c r="J18" s="22" t="n">
        <v>69</v>
      </c>
    </row>
    <row r="19" customFormat="false" ht="15" hidden="false" customHeight="false" outlineLevel="0" collapsed="false">
      <c r="A19" s="0" t="s">
        <v>103</v>
      </c>
      <c r="B19" s="0" t="s">
        <v>97</v>
      </c>
      <c r="C19" s="0" t="s">
        <v>36</v>
      </c>
      <c r="D19" s="0" t="s">
        <v>93</v>
      </c>
      <c r="E19" s="22" t="n">
        <v>39271</v>
      </c>
      <c r="F19" s="22" t="n">
        <v>1478</v>
      </c>
      <c r="G19" s="22" t="n">
        <v>76</v>
      </c>
      <c r="H19" s="23" t="n">
        <v>1403.91</v>
      </c>
      <c r="I19" s="23" t="n">
        <v>8499.46</v>
      </c>
      <c r="J19" s="22" t="n">
        <v>76</v>
      </c>
    </row>
    <row r="20" customFormat="false" ht="15" hidden="false" customHeight="false" outlineLevel="0" collapsed="false">
      <c r="A20" s="0" t="s">
        <v>103</v>
      </c>
      <c r="B20" s="0" t="s">
        <v>98</v>
      </c>
      <c r="C20" s="0" t="s">
        <v>37</v>
      </c>
      <c r="D20" s="0" t="s">
        <v>91</v>
      </c>
      <c r="E20" s="22" t="n">
        <v>290292</v>
      </c>
      <c r="F20" s="22" t="n">
        <v>5924</v>
      </c>
      <c r="G20" s="22" t="n">
        <v>56</v>
      </c>
      <c r="H20" s="23" t="n">
        <v>3436.45</v>
      </c>
      <c r="I20" s="23" t="n">
        <v>4823.97</v>
      </c>
      <c r="J20" s="22" t="n">
        <v>56</v>
      </c>
    </row>
    <row r="21" customFormat="false" ht="15" hidden="false" customHeight="false" outlineLevel="0" collapsed="false">
      <c r="A21" s="0" t="s">
        <v>103</v>
      </c>
      <c r="B21" s="0" t="s">
        <v>99</v>
      </c>
      <c r="C21" s="0" t="s">
        <v>37</v>
      </c>
      <c r="D21" s="0" t="s">
        <v>91</v>
      </c>
      <c r="E21" s="22" t="n">
        <v>218783</v>
      </c>
      <c r="F21" s="22" t="n">
        <v>4023</v>
      </c>
      <c r="G21" s="22" t="n">
        <v>47</v>
      </c>
      <c r="H21" s="23" t="n">
        <v>2494.66</v>
      </c>
      <c r="I21" s="23" t="n">
        <v>4301.25</v>
      </c>
      <c r="J21" s="22" t="n">
        <v>47</v>
      </c>
    </row>
    <row r="22" customFormat="false" ht="15" hidden="false" customHeight="false" outlineLevel="0" collapsed="false">
      <c r="A22" s="0" t="s">
        <v>103</v>
      </c>
      <c r="B22" s="0" t="s">
        <v>100</v>
      </c>
      <c r="C22" s="0" t="s">
        <v>32</v>
      </c>
      <c r="D22" s="0" t="s">
        <v>101</v>
      </c>
      <c r="F22" s="22" t="n">
        <v>11265</v>
      </c>
      <c r="G22" s="22" t="n">
        <v>239</v>
      </c>
      <c r="H22" s="23" t="n">
        <v>224.73</v>
      </c>
      <c r="I22" s="23" t="n">
        <v>23374.21</v>
      </c>
      <c r="J22" s="22" t="n">
        <v>239</v>
      </c>
    </row>
    <row r="23" customFormat="false" ht="15" hidden="false" customHeight="false" outlineLevel="0" collapsed="false">
      <c r="A23" s="0" t="s">
        <v>103</v>
      </c>
      <c r="B23" s="0" t="s">
        <v>102</v>
      </c>
      <c r="C23" s="0" t="s">
        <v>32</v>
      </c>
      <c r="D23" s="0" t="s">
        <v>93</v>
      </c>
      <c r="F23" s="22" t="n">
        <v>2466</v>
      </c>
      <c r="G23" s="22" t="n">
        <v>84</v>
      </c>
      <c r="H23" s="23" t="n">
        <v>24.41</v>
      </c>
      <c r="I23" s="23" t="n">
        <v>9647.44</v>
      </c>
      <c r="J23" s="22" t="n">
        <v>84</v>
      </c>
    </row>
    <row r="24" customFormat="false" ht="15" hidden="false" customHeight="false" outlineLevel="0" collapsed="false">
      <c r="A24" s="0" t="s">
        <v>104</v>
      </c>
      <c r="B24" s="0" t="s">
        <v>90</v>
      </c>
      <c r="C24" s="0" t="s">
        <v>34</v>
      </c>
      <c r="D24" s="0" t="s">
        <v>91</v>
      </c>
      <c r="E24" s="22" t="n">
        <v>141306</v>
      </c>
      <c r="F24" s="22" t="n">
        <v>3575</v>
      </c>
      <c r="G24" s="22" t="n">
        <v>94</v>
      </c>
      <c r="H24" s="23" t="n">
        <v>2324.03</v>
      </c>
      <c r="I24" s="23" t="n">
        <v>8701.33</v>
      </c>
      <c r="J24" s="22" t="n">
        <v>94</v>
      </c>
    </row>
    <row r="25" customFormat="false" ht="15" hidden="false" customHeight="false" outlineLevel="0" collapsed="false">
      <c r="A25" s="0" t="s">
        <v>104</v>
      </c>
      <c r="B25" s="0" t="s">
        <v>92</v>
      </c>
      <c r="C25" s="0" t="s">
        <v>34</v>
      </c>
      <c r="D25" s="0" t="s">
        <v>93</v>
      </c>
      <c r="E25" s="22" t="n">
        <v>43932</v>
      </c>
      <c r="F25" s="22" t="n">
        <v>1756</v>
      </c>
      <c r="G25" s="22" t="n">
        <v>109</v>
      </c>
      <c r="H25" s="23" t="n">
        <v>1440.86</v>
      </c>
      <c r="I25" s="23" t="n">
        <v>11760.85</v>
      </c>
      <c r="J25" s="22" t="n">
        <v>109</v>
      </c>
    </row>
    <row r="26" customFormat="false" ht="15" hidden="false" customHeight="false" outlineLevel="0" collapsed="false">
      <c r="A26" s="0" t="s">
        <v>104</v>
      </c>
      <c r="B26" s="0" t="s">
        <v>94</v>
      </c>
      <c r="C26" s="0" t="s">
        <v>34</v>
      </c>
      <c r="D26" s="0" t="s">
        <v>91</v>
      </c>
      <c r="E26" s="22" t="n">
        <v>86612</v>
      </c>
      <c r="F26" s="22" t="n">
        <v>1969</v>
      </c>
      <c r="G26" s="22" t="n">
        <v>34</v>
      </c>
      <c r="H26" s="23" t="n">
        <v>1379.06</v>
      </c>
      <c r="I26" s="23" t="n">
        <v>3011.33</v>
      </c>
      <c r="J26" s="22" t="n">
        <v>34</v>
      </c>
    </row>
    <row r="27" customFormat="false" ht="15" hidden="false" customHeight="false" outlineLevel="0" collapsed="false">
      <c r="A27" s="0" t="s">
        <v>104</v>
      </c>
      <c r="B27" s="0" t="s">
        <v>95</v>
      </c>
      <c r="C27" s="0" t="s">
        <v>36</v>
      </c>
      <c r="D27" s="0" t="s">
        <v>91</v>
      </c>
      <c r="E27" s="22" t="n">
        <v>14422</v>
      </c>
      <c r="F27" s="22" t="n">
        <v>715</v>
      </c>
      <c r="G27" s="22" t="n">
        <v>87</v>
      </c>
      <c r="H27" s="23" t="n">
        <v>751.06</v>
      </c>
      <c r="I27" s="23" t="n">
        <v>8998.08</v>
      </c>
      <c r="J27" s="22" t="n">
        <v>87</v>
      </c>
    </row>
    <row r="28" customFormat="false" ht="15" hidden="false" customHeight="false" outlineLevel="0" collapsed="false">
      <c r="A28" s="0" t="s">
        <v>104</v>
      </c>
      <c r="B28" s="0" t="s">
        <v>96</v>
      </c>
      <c r="C28" s="0" t="s">
        <v>36</v>
      </c>
      <c r="D28" s="0" t="s">
        <v>91</v>
      </c>
      <c r="E28" s="22" t="n">
        <v>80728</v>
      </c>
      <c r="F28" s="22" t="n">
        <v>1999</v>
      </c>
      <c r="G28" s="22" t="n">
        <v>59</v>
      </c>
      <c r="H28" s="23" t="n">
        <v>1699.22</v>
      </c>
      <c r="I28" s="23" t="n">
        <v>5535.35</v>
      </c>
      <c r="J28" s="22" t="n">
        <v>59</v>
      </c>
    </row>
    <row r="29" customFormat="false" ht="15" hidden="false" customHeight="false" outlineLevel="0" collapsed="false">
      <c r="A29" s="0" t="s">
        <v>104</v>
      </c>
      <c r="B29" s="0" t="s">
        <v>97</v>
      </c>
      <c r="C29" s="0" t="s">
        <v>36</v>
      </c>
      <c r="D29" s="0" t="s">
        <v>93</v>
      </c>
      <c r="E29" s="22" t="n">
        <v>41764</v>
      </c>
      <c r="F29" s="22" t="n">
        <v>1571</v>
      </c>
      <c r="G29" s="22" t="n">
        <v>81</v>
      </c>
      <c r="H29" s="23" t="n">
        <v>1493.05</v>
      </c>
      <c r="I29" s="23" t="n">
        <v>9039.09</v>
      </c>
      <c r="J29" s="22" t="n">
        <v>81</v>
      </c>
    </row>
    <row r="30" customFormat="false" ht="15" hidden="false" customHeight="false" outlineLevel="0" collapsed="false">
      <c r="A30" s="0" t="s">
        <v>104</v>
      </c>
      <c r="B30" s="0" t="s">
        <v>98</v>
      </c>
      <c r="C30" s="0" t="s">
        <v>37</v>
      </c>
      <c r="D30" s="0" t="s">
        <v>91</v>
      </c>
      <c r="E30" s="22" t="n">
        <v>288988</v>
      </c>
      <c r="F30" s="22" t="n">
        <v>5898</v>
      </c>
      <c r="G30" s="22" t="n">
        <v>56</v>
      </c>
      <c r="H30" s="23" t="n">
        <v>3421.01</v>
      </c>
      <c r="I30" s="23" t="n">
        <v>4802.29</v>
      </c>
      <c r="J30" s="22" t="n">
        <v>56</v>
      </c>
    </row>
    <row r="31" customFormat="false" ht="15" hidden="false" customHeight="false" outlineLevel="0" collapsed="false">
      <c r="A31" s="0" t="s">
        <v>104</v>
      </c>
      <c r="B31" s="0" t="s">
        <v>99</v>
      </c>
      <c r="C31" s="0" t="s">
        <v>37</v>
      </c>
      <c r="D31" s="0" t="s">
        <v>91</v>
      </c>
      <c r="E31" s="22" t="n">
        <v>179785</v>
      </c>
      <c r="F31" s="22" t="n">
        <v>3306</v>
      </c>
      <c r="G31" s="22" t="n">
        <v>39</v>
      </c>
      <c r="H31" s="23" t="n">
        <v>2049.99</v>
      </c>
      <c r="I31" s="23" t="n">
        <v>3534.55</v>
      </c>
      <c r="J31" s="22" t="n">
        <v>39</v>
      </c>
    </row>
    <row r="32" customFormat="false" ht="15" hidden="false" customHeight="false" outlineLevel="0" collapsed="false">
      <c r="A32" s="0" t="s">
        <v>104</v>
      </c>
      <c r="B32" s="0" t="s">
        <v>100</v>
      </c>
      <c r="C32" s="0" t="s">
        <v>32</v>
      </c>
      <c r="D32" s="0" t="s">
        <v>101</v>
      </c>
      <c r="F32" s="22" t="n">
        <v>11140</v>
      </c>
      <c r="G32" s="22" t="n">
        <v>237</v>
      </c>
      <c r="H32" s="23" t="n">
        <v>222.24</v>
      </c>
      <c r="I32" s="23" t="n">
        <v>23115.38</v>
      </c>
      <c r="J32" s="22" t="n">
        <v>237</v>
      </c>
    </row>
    <row r="33" customFormat="false" ht="15" hidden="false" customHeight="false" outlineLevel="0" collapsed="false">
      <c r="A33" s="0" t="s">
        <v>104</v>
      </c>
      <c r="B33" s="0" t="s">
        <v>102</v>
      </c>
      <c r="C33" s="0" t="s">
        <v>32</v>
      </c>
      <c r="D33" s="0" t="s">
        <v>93</v>
      </c>
      <c r="F33" s="22" t="n">
        <v>2121</v>
      </c>
      <c r="G33" s="22" t="n">
        <v>72</v>
      </c>
      <c r="H33" s="23" t="n">
        <v>21</v>
      </c>
      <c r="I33" s="23" t="n">
        <v>8298.95</v>
      </c>
      <c r="J33" s="22" t="n">
        <v>72</v>
      </c>
    </row>
    <row r="34" customFormat="false" ht="15" hidden="false" customHeight="false" outlineLevel="0" collapsed="false">
      <c r="A34" s="0" t="s">
        <v>105</v>
      </c>
      <c r="B34" s="0" t="s">
        <v>90</v>
      </c>
      <c r="C34" s="0" t="s">
        <v>34</v>
      </c>
      <c r="D34" s="0" t="s">
        <v>91</v>
      </c>
      <c r="E34" s="22" t="n">
        <v>138154</v>
      </c>
      <c r="F34" s="22" t="n">
        <v>3495</v>
      </c>
      <c r="G34" s="22" t="n">
        <v>92</v>
      </c>
      <c r="H34" s="23" t="n">
        <v>2272.19</v>
      </c>
      <c r="I34" s="23" t="n">
        <v>8507.24</v>
      </c>
      <c r="J34" s="22" t="n">
        <v>92</v>
      </c>
    </row>
    <row r="35" customFormat="false" ht="15" hidden="false" customHeight="false" outlineLevel="0" collapsed="false">
      <c r="A35" s="0" t="s">
        <v>105</v>
      </c>
      <c r="B35" s="0" t="s">
        <v>92</v>
      </c>
      <c r="C35" s="0" t="s">
        <v>34</v>
      </c>
      <c r="D35" s="0" t="s">
        <v>93</v>
      </c>
      <c r="E35" s="22" t="n">
        <v>46835</v>
      </c>
      <c r="F35" s="22" t="n">
        <v>1873</v>
      </c>
      <c r="G35" s="22" t="n">
        <v>117</v>
      </c>
      <c r="H35" s="23" t="n">
        <v>1536.08</v>
      </c>
      <c r="I35" s="23" t="n">
        <v>12538.07</v>
      </c>
      <c r="J35" s="22" t="n">
        <v>117</v>
      </c>
    </row>
    <row r="36" customFormat="false" ht="15" hidden="false" customHeight="false" outlineLevel="0" collapsed="false">
      <c r="A36" s="0" t="s">
        <v>105</v>
      </c>
      <c r="B36" s="0" t="s">
        <v>94</v>
      </c>
      <c r="C36" s="0" t="s">
        <v>34</v>
      </c>
      <c r="D36" s="0" t="s">
        <v>91</v>
      </c>
      <c r="E36" s="22" t="n">
        <v>95435</v>
      </c>
      <c r="F36" s="22" t="n">
        <v>2170</v>
      </c>
      <c r="G36" s="22" t="n">
        <v>37</v>
      </c>
      <c r="H36" s="23" t="n">
        <v>1519.55</v>
      </c>
      <c r="I36" s="23" t="n">
        <v>3318.1</v>
      </c>
      <c r="J36" s="22" t="n">
        <v>37</v>
      </c>
    </row>
    <row r="37" customFormat="false" ht="15" hidden="false" customHeight="false" outlineLevel="0" collapsed="false">
      <c r="A37" s="0" t="s">
        <v>105</v>
      </c>
      <c r="B37" s="0" t="s">
        <v>95</v>
      </c>
      <c r="C37" s="0" t="s">
        <v>36</v>
      </c>
      <c r="D37" s="0" t="s">
        <v>91</v>
      </c>
      <c r="E37" s="22" t="n">
        <v>15136</v>
      </c>
      <c r="F37" s="22" t="n">
        <v>750</v>
      </c>
      <c r="G37" s="22" t="n">
        <v>92</v>
      </c>
      <c r="H37" s="23" t="n">
        <v>788.21</v>
      </c>
      <c r="I37" s="23" t="n">
        <v>9443.2</v>
      </c>
      <c r="J37" s="22" t="n">
        <v>92</v>
      </c>
    </row>
    <row r="38" customFormat="false" ht="15" hidden="false" customHeight="false" outlineLevel="0" collapsed="false">
      <c r="A38" s="0" t="s">
        <v>105</v>
      </c>
      <c r="B38" s="0" t="s">
        <v>96</v>
      </c>
      <c r="C38" s="0" t="s">
        <v>36</v>
      </c>
      <c r="D38" s="0" t="s">
        <v>91</v>
      </c>
      <c r="E38" s="22" t="n">
        <v>79650</v>
      </c>
      <c r="F38" s="22" t="n">
        <v>1973</v>
      </c>
      <c r="G38" s="22" t="n">
        <v>58</v>
      </c>
      <c r="H38" s="23" t="n">
        <v>1676.54</v>
      </c>
      <c r="I38" s="23" t="n">
        <v>5461.45</v>
      </c>
      <c r="J38" s="22" t="n">
        <v>58</v>
      </c>
    </row>
    <row r="39" customFormat="false" ht="15" hidden="false" customHeight="false" outlineLevel="0" collapsed="false">
      <c r="A39" s="0" t="s">
        <v>105</v>
      </c>
      <c r="B39" s="0" t="s">
        <v>97</v>
      </c>
      <c r="C39" s="0" t="s">
        <v>36</v>
      </c>
      <c r="D39" s="0" t="s">
        <v>93</v>
      </c>
      <c r="E39" s="22" t="n">
        <v>37349</v>
      </c>
      <c r="F39" s="22" t="n">
        <v>1405</v>
      </c>
      <c r="G39" s="22" t="n">
        <v>73</v>
      </c>
      <c r="H39" s="23" t="n">
        <v>1335.19</v>
      </c>
      <c r="I39" s="23" t="n">
        <v>8083.42</v>
      </c>
      <c r="J39" s="22" t="n">
        <v>73</v>
      </c>
    </row>
    <row r="40" customFormat="false" ht="15" hidden="false" customHeight="false" outlineLevel="0" collapsed="false">
      <c r="A40" s="0" t="s">
        <v>105</v>
      </c>
      <c r="B40" s="0" t="s">
        <v>98</v>
      </c>
      <c r="C40" s="0" t="s">
        <v>37</v>
      </c>
      <c r="D40" s="0" t="s">
        <v>91</v>
      </c>
      <c r="E40" s="22" t="n">
        <v>242963</v>
      </c>
      <c r="F40" s="22" t="n">
        <v>4958</v>
      </c>
      <c r="G40" s="22" t="n">
        <v>47</v>
      </c>
      <c r="H40" s="23" t="n">
        <v>2876.18</v>
      </c>
      <c r="I40" s="23" t="n">
        <v>4037.48</v>
      </c>
      <c r="J40" s="22" t="n">
        <v>47</v>
      </c>
    </row>
    <row r="41" customFormat="false" ht="15" hidden="false" customHeight="false" outlineLevel="0" collapsed="false">
      <c r="A41" s="0" t="s">
        <v>105</v>
      </c>
      <c r="B41" s="0" t="s">
        <v>99</v>
      </c>
      <c r="C41" s="0" t="s">
        <v>37</v>
      </c>
      <c r="D41" s="0" t="s">
        <v>91</v>
      </c>
      <c r="E41" s="22" t="n">
        <v>220333</v>
      </c>
      <c r="F41" s="22" t="n">
        <v>4051</v>
      </c>
      <c r="G41" s="22" t="n">
        <v>48</v>
      </c>
      <c r="H41" s="23" t="n">
        <v>2512.33</v>
      </c>
      <c r="I41" s="23" t="n">
        <v>4331.72</v>
      </c>
      <c r="J41" s="22" t="n">
        <v>48</v>
      </c>
    </row>
    <row r="42" customFormat="false" ht="15" hidden="false" customHeight="false" outlineLevel="0" collapsed="false">
      <c r="A42" s="0" t="s">
        <v>105</v>
      </c>
      <c r="B42" s="0" t="s">
        <v>100</v>
      </c>
      <c r="C42" s="0" t="s">
        <v>32</v>
      </c>
      <c r="D42" s="0" t="s">
        <v>101</v>
      </c>
      <c r="F42" s="22" t="n">
        <v>11610</v>
      </c>
      <c r="G42" s="22" t="n">
        <v>247</v>
      </c>
      <c r="H42" s="23" t="n">
        <v>231.6</v>
      </c>
      <c r="I42" s="23" t="n">
        <v>24089.32</v>
      </c>
      <c r="J42" s="22" t="n">
        <v>247</v>
      </c>
    </row>
    <row r="43" customFormat="false" ht="15" hidden="false" customHeight="false" outlineLevel="0" collapsed="false">
      <c r="A43" s="0" t="s">
        <v>105</v>
      </c>
      <c r="B43" s="0" t="s">
        <v>102</v>
      </c>
      <c r="C43" s="0" t="s">
        <v>32</v>
      </c>
      <c r="D43" s="0" t="s">
        <v>93</v>
      </c>
      <c r="F43" s="22" t="n">
        <v>2519</v>
      </c>
      <c r="G43" s="22" t="n">
        <v>86</v>
      </c>
      <c r="H43" s="23" t="n">
        <v>24.93</v>
      </c>
      <c r="I43" s="23" t="n">
        <v>9854.54</v>
      </c>
      <c r="J43" s="22" t="n">
        <v>86</v>
      </c>
    </row>
    <row r="44" customFormat="false" ht="15" hidden="false" customHeight="false" outlineLevel="0" collapsed="false">
      <c r="A44" s="0" t="s">
        <v>106</v>
      </c>
      <c r="B44" s="0" t="s">
        <v>90</v>
      </c>
      <c r="C44" s="0" t="s">
        <v>34</v>
      </c>
      <c r="D44" s="0" t="s">
        <v>91</v>
      </c>
      <c r="E44" s="22" t="n">
        <v>135879</v>
      </c>
      <c r="F44" s="22" t="n">
        <v>3437</v>
      </c>
      <c r="G44" s="22" t="n">
        <v>91</v>
      </c>
      <c r="H44" s="23" t="n">
        <v>2234.76</v>
      </c>
      <c r="I44" s="23" t="n">
        <v>8367.13</v>
      </c>
      <c r="J44" s="22" t="n">
        <v>91</v>
      </c>
    </row>
    <row r="45" customFormat="false" ht="15" hidden="false" customHeight="false" outlineLevel="0" collapsed="false">
      <c r="A45" s="0" t="s">
        <v>106</v>
      </c>
      <c r="B45" s="0" t="s">
        <v>92</v>
      </c>
      <c r="C45" s="0" t="s">
        <v>34</v>
      </c>
      <c r="D45" s="0" t="s">
        <v>93</v>
      </c>
      <c r="E45" s="22" t="n">
        <v>47489</v>
      </c>
      <c r="F45" s="22" t="n">
        <v>1899</v>
      </c>
      <c r="G45" s="22" t="n">
        <v>118</v>
      </c>
      <c r="H45" s="23" t="n">
        <v>1557.52</v>
      </c>
      <c r="I45" s="23" t="n">
        <v>12713.06</v>
      </c>
      <c r="J45" s="22" t="n">
        <v>118</v>
      </c>
    </row>
    <row r="46" customFormat="false" ht="15" hidden="false" customHeight="false" outlineLevel="0" collapsed="false">
      <c r="A46" s="0" t="s">
        <v>106</v>
      </c>
      <c r="B46" s="0" t="s">
        <v>94</v>
      </c>
      <c r="C46" s="0" t="s">
        <v>34</v>
      </c>
      <c r="D46" s="0" t="s">
        <v>91</v>
      </c>
      <c r="E46" s="22" t="n">
        <v>107190</v>
      </c>
      <c r="F46" s="22" t="n">
        <v>2437</v>
      </c>
      <c r="G46" s="22" t="n">
        <v>42</v>
      </c>
      <c r="H46" s="23" t="n">
        <v>1706.72</v>
      </c>
      <c r="I46" s="23" t="n">
        <v>3726.8</v>
      </c>
      <c r="J46" s="22" t="n">
        <v>42</v>
      </c>
    </row>
    <row r="47" customFormat="false" ht="15" hidden="false" customHeight="false" outlineLevel="0" collapsed="false">
      <c r="A47" s="0" t="s">
        <v>106</v>
      </c>
      <c r="B47" s="0" t="s">
        <v>95</v>
      </c>
      <c r="C47" s="0" t="s">
        <v>36</v>
      </c>
      <c r="D47" s="0" t="s">
        <v>91</v>
      </c>
      <c r="E47" s="22" t="n">
        <v>14369</v>
      </c>
      <c r="F47" s="22" t="n">
        <v>712</v>
      </c>
      <c r="G47" s="22" t="n">
        <v>87</v>
      </c>
      <c r="H47" s="23" t="n">
        <v>748.26</v>
      </c>
      <c r="I47" s="23" t="n">
        <v>8964.53</v>
      </c>
      <c r="J47" s="22" t="n">
        <v>87</v>
      </c>
    </row>
    <row r="48" customFormat="false" ht="15" hidden="false" customHeight="false" outlineLevel="0" collapsed="false">
      <c r="A48" s="0" t="s">
        <v>106</v>
      </c>
      <c r="B48" s="0" t="s">
        <v>96</v>
      </c>
      <c r="C48" s="0" t="s">
        <v>36</v>
      </c>
      <c r="D48" s="0" t="s">
        <v>91</v>
      </c>
      <c r="E48" s="22" t="n">
        <v>80218</v>
      </c>
      <c r="F48" s="22" t="n">
        <v>1987</v>
      </c>
      <c r="G48" s="22" t="n">
        <v>59</v>
      </c>
      <c r="H48" s="23" t="n">
        <v>1688.49</v>
      </c>
      <c r="I48" s="23" t="n">
        <v>5500.4</v>
      </c>
      <c r="J48" s="22" t="n">
        <v>59</v>
      </c>
    </row>
    <row r="49" customFormat="false" ht="15" hidden="false" customHeight="false" outlineLevel="0" collapsed="false">
      <c r="A49" s="0" t="s">
        <v>106</v>
      </c>
      <c r="B49" s="0" t="s">
        <v>97</v>
      </c>
      <c r="C49" s="0" t="s">
        <v>36</v>
      </c>
      <c r="D49" s="0" t="s">
        <v>93</v>
      </c>
      <c r="E49" s="22" t="n">
        <v>45113</v>
      </c>
      <c r="F49" s="22" t="n">
        <v>1697</v>
      </c>
      <c r="G49" s="22" t="n">
        <v>88</v>
      </c>
      <c r="H49" s="23" t="n">
        <v>1612.75</v>
      </c>
      <c r="I49" s="23" t="n">
        <v>9763.79</v>
      </c>
      <c r="J49" s="22" t="n">
        <v>88</v>
      </c>
    </row>
    <row r="50" customFormat="false" ht="15" hidden="false" customHeight="false" outlineLevel="0" collapsed="false">
      <c r="A50" s="0" t="s">
        <v>106</v>
      </c>
      <c r="B50" s="0" t="s">
        <v>98</v>
      </c>
      <c r="C50" s="0" t="s">
        <v>37</v>
      </c>
      <c r="D50" s="0" t="s">
        <v>91</v>
      </c>
      <c r="E50" s="22" t="n">
        <v>246206</v>
      </c>
      <c r="F50" s="22" t="n">
        <v>5025</v>
      </c>
      <c r="G50" s="22" t="n">
        <v>48</v>
      </c>
      <c r="H50" s="23" t="n">
        <v>2914.57</v>
      </c>
      <c r="I50" s="23" t="n">
        <v>4091.37</v>
      </c>
      <c r="J50" s="22" t="n">
        <v>48</v>
      </c>
    </row>
    <row r="51" customFormat="false" ht="15" hidden="false" customHeight="false" outlineLevel="0" collapsed="false">
      <c r="A51" s="0" t="s">
        <v>106</v>
      </c>
      <c r="B51" s="0" t="s">
        <v>99</v>
      </c>
      <c r="C51" s="0" t="s">
        <v>37</v>
      </c>
      <c r="D51" s="0" t="s">
        <v>91</v>
      </c>
      <c r="E51" s="22" t="n">
        <v>196720</v>
      </c>
      <c r="F51" s="22" t="n">
        <v>3617</v>
      </c>
      <c r="G51" s="22" t="n">
        <v>42</v>
      </c>
      <c r="H51" s="23" t="n">
        <v>2243.09</v>
      </c>
      <c r="I51" s="23" t="n">
        <v>3867.49</v>
      </c>
      <c r="J51" s="22" t="n">
        <v>42</v>
      </c>
    </row>
    <row r="52" customFormat="false" ht="15" hidden="false" customHeight="false" outlineLevel="0" collapsed="false">
      <c r="A52" s="0" t="s">
        <v>106</v>
      </c>
      <c r="B52" s="0" t="s">
        <v>100</v>
      </c>
      <c r="C52" s="0" t="s">
        <v>32</v>
      </c>
      <c r="D52" s="0" t="s">
        <v>101</v>
      </c>
      <c r="F52" s="22" t="n">
        <v>12441</v>
      </c>
      <c r="G52" s="22" t="n">
        <v>264</v>
      </c>
      <c r="H52" s="23" t="n">
        <v>248.19</v>
      </c>
      <c r="I52" s="23" t="n">
        <v>25814.6</v>
      </c>
      <c r="J52" s="22" t="n">
        <v>264</v>
      </c>
    </row>
    <row r="53" customFormat="false" ht="15" hidden="false" customHeight="false" outlineLevel="0" collapsed="false">
      <c r="A53" s="0" t="s">
        <v>106</v>
      </c>
      <c r="B53" s="0" t="s">
        <v>102</v>
      </c>
      <c r="C53" s="0" t="s">
        <v>32</v>
      </c>
      <c r="D53" s="0" t="s">
        <v>93</v>
      </c>
      <c r="F53" s="22" t="n">
        <v>2239</v>
      </c>
      <c r="G53" s="22" t="n">
        <v>76</v>
      </c>
      <c r="H53" s="23" t="n">
        <v>22.16</v>
      </c>
      <c r="I53" s="23" t="n">
        <v>8759.47</v>
      </c>
      <c r="J53" s="22" t="n">
        <v>76</v>
      </c>
    </row>
    <row r="54" customFormat="false" ht="15" hidden="false" customHeight="false" outlineLevel="0" collapsed="false">
      <c r="A54" s="0" t="s">
        <v>107</v>
      </c>
      <c r="B54" s="0" t="s">
        <v>90</v>
      </c>
      <c r="C54" s="0" t="s">
        <v>34</v>
      </c>
      <c r="D54" s="0" t="s">
        <v>91</v>
      </c>
      <c r="E54" s="22" t="n">
        <v>122502</v>
      </c>
      <c r="F54" s="22" t="n">
        <v>3099</v>
      </c>
      <c r="G54" s="22" t="n">
        <v>82</v>
      </c>
      <c r="H54" s="23" t="n">
        <v>2014.76</v>
      </c>
      <c r="I54" s="23" t="n">
        <v>7543.44</v>
      </c>
      <c r="J54" s="22" t="n">
        <v>82</v>
      </c>
    </row>
    <row r="55" customFormat="false" ht="15" hidden="false" customHeight="false" outlineLevel="0" collapsed="false">
      <c r="A55" s="0" t="s">
        <v>107</v>
      </c>
      <c r="B55" s="0" t="s">
        <v>92</v>
      </c>
      <c r="C55" s="0" t="s">
        <v>34</v>
      </c>
      <c r="D55" s="0" t="s">
        <v>93</v>
      </c>
      <c r="E55" s="22" t="n">
        <v>51535</v>
      </c>
      <c r="F55" s="22" t="n">
        <v>2060</v>
      </c>
      <c r="G55" s="22" t="n">
        <v>128</v>
      </c>
      <c r="H55" s="23" t="n">
        <v>1690.24</v>
      </c>
      <c r="I55" s="23" t="n">
        <v>13796.31</v>
      </c>
      <c r="J55" s="22" t="n">
        <v>128</v>
      </c>
    </row>
    <row r="56" customFormat="false" ht="15" hidden="false" customHeight="false" outlineLevel="0" collapsed="false">
      <c r="A56" s="0" t="s">
        <v>107</v>
      </c>
      <c r="B56" s="0" t="s">
        <v>94</v>
      </c>
      <c r="C56" s="0" t="s">
        <v>34</v>
      </c>
      <c r="D56" s="0" t="s">
        <v>91</v>
      </c>
      <c r="E56" s="22" t="n">
        <v>108171</v>
      </c>
      <c r="F56" s="22" t="n">
        <v>2459</v>
      </c>
      <c r="G56" s="22" t="n">
        <v>42</v>
      </c>
      <c r="H56" s="23" t="n">
        <v>1722.33</v>
      </c>
      <c r="I56" s="23" t="n">
        <v>3760.89</v>
      </c>
      <c r="J56" s="22" t="n">
        <v>42</v>
      </c>
    </row>
    <row r="57" customFormat="false" ht="15" hidden="false" customHeight="false" outlineLevel="0" collapsed="false">
      <c r="A57" s="0" t="s">
        <v>107</v>
      </c>
      <c r="B57" s="0" t="s">
        <v>95</v>
      </c>
      <c r="C57" s="0" t="s">
        <v>36</v>
      </c>
      <c r="D57" s="0" t="s">
        <v>91</v>
      </c>
      <c r="E57" s="22" t="n">
        <v>16865</v>
      </c>
      <c r="F57" s="22" t="n">
        <v>836</v>
      </c>
      <c r="G57" s="22" t="n">
        <v>102</v>
      </c>
      <c r="H57" s="23" t="n">
        <v>878.28</v>
      </c>
      <c r="I57" s="23" t="n">
        <v>10522.21</v>
      </c>
      <c r="J57" s="22" t="n">
        <v>102</v>
      </c>
    </row>
    <row r="58" customFormat="false" ht="15" hidden="false" customHeight="false" outlineLevel="0" collapsed="false">
      <c r="A58" s="0" t="s">
        <v>107</v>
      </c>
      <c r="B58" s="0" t="s">
        <v>96</v>
      </c>
      <c r="C58" s="0" t="s">
        <v>36</v>
      </c>
      <c r="D58" s="0" t="s">
        <v>91</v>
      </c>
      <c r="E58" s="22" t="n">
        <v>97118</v>
      </c>
      <c r="F58" s="22" t="n">
        <v>2405</v>
      </c>
      <c r="G58" s="22" t="n">
        <v>71</v>
      </c>
      <c r="H58" s="23" t="n">
        <v>2044.21</v>
      </c>
      <c r="I58" s="23" t="n">
        <v>6659.16</v>
      </c>
      <c r="J58" s="22" t="n">
        <v>71</v>
      </c>
    </row>
    <row r="59" customFormat="false" ht="15" hidden="false" customHeight="false" outlineLevel="0" collapsed="false">
      <c r="A59" s="0" t="s">
        <v>107</v>
      </c>
      <c r="B59" s="0" t="s">
        <v>97</v>
      </c>
      <c r="C59" s="0" t="s">
        <v>36</v>
      </c>
      <c r="D59" s="0" t="s">
        <v>93</v>
      </c>
      <c r="E59" s="22" t="n">
        <v>36580</v>
      </c>
      <c r="F59" s="22" t="n">
        <v>1376</v>
      </c>
      <c r="G59" s="22" t="n">
        <v>71</v>
      </c>
      <c r="H59" s="23" t="n">
        <v>1307.7</v>
      </c>
      <c r="I59" s="23" t="n">
        <v>7916.99</v>
      </c>
      <c r="J59" s="22" t="n">
        <v>71</v>
      </c>
    </row>
    <row r="60" customFormat="false" ht="15" hidden="false" customHeight="false" outlineLevel="0" collapsed="false">
      <c r="A60" s="0" t="s">
        <v>107</v>
      </c>
      <c r="B60" s="0" t="s">
        <v>98</v>
      </c>
      <c r="C60" s="0" t="s">
        <v>37</v>
      </c>
      <c r="D60" s="0" t="s">
        <v>91</v>
      </c>
      <c r="E60" s="22" t="n">
        <v>288459</v>
      </c>
      <c r="F60" s="22" t="n">
        <v>5887</v>
      </c>
      <c r="G60" s="22" t="n">
        <v>56</v>
      </c>
      <c r="H60" s="23" t="n">
        <v>3414.75</v>
      </c>
      <c r="I60" s="23" t="n">
        <v>4793.5</v>
      </c>
      <c r="J60" s="22" t="n">
        <v>56</v>
      </c>
    </row>
    <row r="61" customFormat="false" ht="15" hidden="false" customHeight="false" outlineLevel="0" collapsed="false">
      <c r="A61" s="0" t="s">
        <v>107</v>
      </c>
      <c r="B61" s="0" t="s">
        <v>99</v>
      </c>
      <c r="C61" s="0" t="s">
        <v>37</v>
      </c>
      <c r="D61" s="0" t="s">
        <v>91</v>
      </c>
      <c r="E61" s="22" t="n">
        <v>198824</v>
      </c>
      <c r="F61" s="22" t="n">
        <v>3656</v>
      </c>
      <c r="G61" s="22" t="n">
        <v>43</v>
      </c>
      <c r="H61" s="23" t="n">
        <v>2267.07</v>
      </c>
      <c r="I61" s="23" t="n">
        <v>3908.85</v>
      </c>
      <c r="J61" s="22" t="n">
        <v>43</v>
      </c>
    </row>
    <row r="62" customFormat="false" ht="15" hidden="false" customHeight="false" outlineLevel="0" collapsed="false">
      <c r="A62" s="0" t="s">
        <v>107</v>
      </c>
      <c r="B62" s="0" t="s">
        <v>100</v>
      </c>
      <c r="C62" s="0" t="s">
        <v>32</v>
      </c>
      <c r="D62" s="0" t="s">
        <v>101</v>
      </c>
      <c r="F62" s="22" t="n">
        <v>12218</v>
      </c>
      <c r="G62" s="22" t="n">
        <v>259</v>
      </c>
      <c r="H62" s="23" t="n">
        <v>243.75</v>
      </c>
      <c r="I62" s="23" t="n">
        <v>25352.37</v>
      </c>
      <c r="J62" s="22" t="n">
        <v>259</v>
      </c>
    </row>
    <row r="63" customFormat="false" ht="15" hidden="false" customHeight="false" outlineLevel="0" collapsed="false">
      <c r="A63" s="0" t="s">
        <v>107</v>
      </c>
      <c r="B63" s="0" t="s">
        <v>102</v>
      </c>
      <c r="C63" s="0" t="s">
        <v>32</v>
      </c>
      <c r="D63" s="0" t="s">
        <v>93</v>
      </c>
      <c r="F63" s="22" t="n">
        <v>1997</v>
      </c>
      <c r="G63" s="22" t="n">
        <v>68</v>
      </c>
      <c r="H63" s="23" t="n">
        <v>19.77</v>
      </c>
      <c r="I63" s="23" t="n">
        <v>7814.03</v>
      </c>
      <c r="J63" s="22" t="n">
        <v>68</v>
      </c>
    </row>
    <row r="64" customFormat="false" ht="15" hidden="false" customHeight="false" outlineLevel="0" collapsed="false">
      <c r="A64" s="0" t="s">
        <v>108</v>
      </c>
      <c r="B64" s="0" t="s">
        <v>90</v>
      </c>
      <c r="C64" s="0" t="s">
        <v>34</v>
      </c>
      <c r="D64" s="0" t="s">
        <v>91</v>
      </c>
      <c r="E64" s="22" t="n">
        <v>148254</v>
      </c>
      <c r="F64" s="22" t="n">
        <v>3750</v>
      </c>
      <c r="G64" s="22" t="n">
        <v>99</v>
      </c>
      <c r="H64" s="23" t="n">
        <v>2438.3</v>
      </c>
      <c r="I64" s="23" t="n">
        <v>9129.18</v>
      </c>
      <c r="J64" s="22" t="n">
        <v>99</v>
      </c>
    </row>
    <row r="65" customFormat="false" ht="15" hidden="false" customHeight="false" outlineLevel="0" collapsed="false">
      <c r="A65" s="0" t="s">
        <v>108</v>
      </c>
      <c r="B65" s="0" t="s">
        <v>92</v>
      </c>
      <c r="C65" s="0" t="s">
        <v>34</v>
      </c>
      <c r="D65" s="0" t="s">
        <v>93</v>
      </c>
      <c r="E65" s="22" t="n">
        <v>39875</v>
      </c>
      <c r="F65" s="22" t="n">
        <v>1594</v>
      </c>
      <c r="G65" s="22" t="n">
        <v>99</v>
      </c>
      <c r="H65" s="23" t="n">
        <v>1307.8</v>
      </c>
      <c r="I65" s="23" t="n">
        <v>10674.73</v>
      </c>
      <c r="J65" s="22" t="n">
        <v>99</v>
      </c>
    </row>
    <row r="66" customFormat="false" ht="15" hidden="false" customHeight="false" outlineLevel="0" collapsed="false">
      <c r="A66" s="0" t="s">
        <v>108</v>
      </c>
      <c r="B66" s="0" t="s">
        <v>94</v>
      </c>
      <c r="C66" s="0" t="s">
        <v>34</v>
      </c>
      <c r="D66" s="0" t="s">
        <v>91</v>
      </c>
      <c r="E66" s="22" t="n">
        <v>94547</v>
      </c>
      <c r="F66" s="22" t="n">
        <v>2150</v>
      </c>
      <c r="G66" s="22" t="n">
        <v>37</v>
      </c>
      <c r="H66" s="23" t="n">
        <v>1505.4</v>
      </c>
      <c r="I66" s="23" t="n">
        <v>3287.21</v>
      </c>
      <c r="J66" s="22" t="n">
        <v>37</v>
      </c>
    </row>
    <row r="67" customFormat="false" ht="15" hidden="false" customHeight="false" outlineLevel="0" collapsed="false">
      <c r="A67" s="0" t="s">
        <v>108</v>
      </c>
      <c r="B67" s="0" t="s">
        <v>95</v>
      </c>
      <c r="C67" s="0" t="s">
        <v>36</v>
      </c>
      <c r="D67" s="0" t="s">
        <v>91</v>
      </c>
      <c r="E67" s="22" t="n">
        <v>17314</v>
      </c>
      <c r="F67" s="22" t="n">
        <v>858</v>
      </c>
      <c r="G67" s="22" t="n">
        <v>105</v>
      </c>
      <c r="H67" s="23" t="n">
        <v>901.63</v>
      </c>
      <c r="I67" s="23" t="n">
        <v>10801.97</v>
      </c>
      <c r="J67" s="22" t="n">
        <v>105</v>
      </c>
    </row>
    <row r="68" customFormat="false" ht="15" hidden="false" customHeight="false" outlineLevel="0" collapsed="false">
      <c r="A68" s="0" t="s">
        <v>108</v>
      </c>
      <c r="B68" s="0" t="s">
        <v>96</v>
      </c>
      <c r="C68" s="0" t="s">
        <v>36</v>
      </c>
      <c r="D68" s="0" t="s">
        <v>91</v>
      </c>
      <c r="E68" s="22" t="n">
        <v>77732</v>
      </c>
      <c r="F68" s="22" t="n">
        <v>1925</v>
      </c>
      <c r="G68" s="22" t="n">
        <v>57</v>
      </c>
      <c r="H68" s="23" t="n">
        <v>1636.15</v>
      </c>
      <c r="I68" s="23" t="n">
        <v>5329.89</v>
      </c>
      <c r="J68" s="22" t="n">
        <v>57</v>
      </c>
    </row>
    <row r="69" customFormat="false" ht="15" hidden="false" customHeight="false" outlineLevel="0" collapsed="false">
      <c r="A69" s="0" t="s">
        <v>108</v>
      </c>
      <c r="B69" s="0" t="s">
        <v>97</v>
      </c>
      <c r="C69" s="0" t="s">
        <v>36</v>
      </c>
      <c r="D69" s="0" t="s">
        <v>93</v>
      </c>
      <c r="E69" s="22" t="n">
        <v>44838</v>
      </c>
      <c r="F69" s="22" t="n">
        <v>1687</v>
      </c>
      <c r="G69" s="22" t="n">
        <v>87</v>
      </c>
      <c r="H69" s="23" t="n">
        <v>1602.91</v>
      </c>
      <c r="I69" s="23" t="n">
        <v>9704.22</v>
      </c>
      <c r="J69" s="22" t="n">
        <v>87</v>
      </c>
    </row>
    <row r="70" customFormat="false" ht="15" hidden="false" customHeight="false" outlineLevel="0" collapsed="false">
      <c r="A70" s="0" t="s">
        <v>108</v>
      </c>
      <c r="B70" s="0" t="s">
        <v>98</v>
      </c>
      <c r="C70" s="0" t="s">
        <v>37</v>
      </c>
      <c r="D70" s="0" t="s">
        <v>91</v>
      </c>
      <c r="E70" s="22" t="n">
        <v>255412</v>
      </c>
      <c r="F70" s="22" t="n">
        <v>5212</v>
      </c>
      <c r="G70" s="22" t="n">
        <v>50</v>
      </c>
      <c r="H70" s="23" t="n">
        <v>3023.54</v>
      </c>
      <c r="I70" s="23" t="n">
        <v>4244.34</v>
      </c>
      <c r="J70" s="22" t="n">
        <v>50</v>
      </c>
    </row>
    <row r="71" customFormat="false" ht="15" hidden="false" customHeight="false" outlineLevel="0" collapsed="false">
      <c r="A71" s="0" t="s">
        <v>108</v>
      </c>
      <c r="B71" s="0" t="s">
        <v>99</v>
      </c>
      <c r="C71" s="0" t="s">
        <v>37</v>
      </c>
      <c r="D71" s="0" t="s">
        <v>91</v>
      </c>
      <c r="E71" s="22" t="n">
        <v>180494</v>
      </c>
      <c r="F71" s="22" t="n">
        <v>3319</v>
      </c>
      <c r="G71" s="22" t="n">
        <v>39</v>
      </c>
      <c r="H71" s="23" t="n">
        <v>2058.07</v>
      </c>
      <c r="I71" s="23" t="n">
        <v>3548.49</v>
      </c>
      <c r="J71" s="22" t="n">
        <v>39</v>
      </c>
    </row>
    <row r="72" customFormat="false" ht="15" hidden="false" customHeight="false" outlineLevel="0" collapsed="false">
      <c r="A72" s="0" t="s">
        <v>108</v>
      </c>
      <c r="B72" s="0" t="s">
        <v>100</v>
      </c>
      <c r="C72" s="0" t="s">
        <v>32</v>
      </c>
      <c r="D72" s="0" t="s">
        <v>101</v>
      </c>
      <c r="F72" s="22" t="n">
        <v>11379</v>
      </c>
      <c r="G72" s="22" t="n">
        <v>242</v>
      </c>
      <c r="H72" s="23" t="n">
        <v>227</v>
      </c>
      <c r="I72" s="23" t="n">
        <v>23610.74</v>
      </c>
      <c r="J72" s="22" t="n">
        <v>242</v>
      </c>
    </row>
    <row r="73" customFormat="false" ht="15" hidden="false" customHeight="false" outlineLevel="0" collapsed="false">
      <c r="A73" s="0" t="s">
        <v>108</v>
      </c>
      <c r="B73" s="0" t="s">
        <v>102</v>
      </c>
      <c r="C73" s="0" t="s">
        <v>32</v>
      </c>
      <c r="D73" s="0" t="s">
        <v>93</v>
      </c>
      <c r="F73" s="22" t="n">
        <v>2355</v>
      </c>
      <c r="G73" s="22" t="n">
        <v>80</v>
      </c>
      <c r="H73" s="23" t="n">
        <v>23.31</v>
      </c>
      <c r="I73" s="23" t="n">
        <v>9214.99</v>
      </c>
      <c r="J73" s="22" t="n"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2026-01-21T09:26:18Z</dcterms:created>
  <dc:creator>openpyxl</dc:creator>
  <dc:description/>
  <dc:language>en-US</dc:language>
  <cp:lastModifiedBy/>
  <dcterms:modified xsi:type="dcterms:W3CDTF">2026-01-21T09:26:19Z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